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Sprint 0" sheetId="2" r:id="rId6"/>
    <sheet state="visible" name="Sprint 1" sheetId="3" r:id="rId7"/>
    <sheet state="visible" name="Sprint 2" sheetId="4" r:id="rId8"/>
    <sheet state="visible" name="Sprint 3" sheetId="5" r:id="rId9"/>
    <sheet state="visible" name="Sprint 4" sheetId="6" r:id="rId10"/>
    <sheet state="visible" name="Sprint 5" sheetId="7" r:id="rId11"/>
    <sheet state="visible" name="Sprint 6" sheetId="8" r:id="rId12"/>
    <sheet state="visible" name="Sprint 7" sheetId="9" r:id="rId13"/>
    <sheet state="visible" name="Sprint 8" sheetId="10" r:id="rId14"/>
  </sheets>
  <definedNames/>
  <calcPr/>
</workbook>
</file>

<file path=xl/sharedStrings.xml><?xml version="1.0" encoding="utf-8"?>
<sst xmlns="http://schemas.openxmlformats.org/spreadsheetml/2006/main" count="660" uniqueCount="273">
  <si>
    <t>Backlog das Sprints — Sistema de Pesquisa Eleitoral</t>
  </si>
  <si>
    <t>Sprint 0 — Preparação</t>
  </si>
  <si>
    <t>Sprint 2 — Formulários e Perguntas</t>
  </si>
  <si>
    <t>Sprint 1 — Fundação e Autenticação</t>
  </si>
  <si>
    <t>Base: Documento de Escopo v1.4 e Plano de Sprints v1.1</t>
  </si>
  <si>
    <t>Como usar esta planilha:</t>
  </si>
  <si>
    <t>Cada sprint tem sua própria aba. Preencha apenas a coluna Status (lista suspensa) e a coluna Observações.</t>
  </si>
  <si>
    <t>As colunas ID, Épico, Item, Tipo, Prioridade e Pontos vêm do plano de sprints e não devem ser alteradas sem revisar o plano.</t>
  </si>
  <si>
    <t>Esta aba de Resumo é calculada por fórmula a partir das abas de sprint — não digite valores aqui.</t>
  </si>
  <si>
    <t>Status possíveis: A Fazer, Em Andamento, Bloqueado, Concluído.</t>
  </si>
  <si>
    <t>Objetivo:</t>
  </si>
  <si>
    <t>Premissa de estimativa: os pontos são estimativa em escala de Fibonacci (1, 2, 3, 5, 8) feita sem base histórica de velocidade,</t>
  </si>
  <si>
    <t>Deixar o terreno pronto para desenvolver sem retrabalho.</t>
  </si>
  <si>
    <t>por não existir sprint anterior neste projeto. Devem ser recalibrados ao final da Sprint 1, quando houver o primeiro dado real.</t>
  </si>
  <si>
    <t>Ter uma API viva com controle de acesso funcionando.</t>
  </si>
  <si>
    <t>Premissa de capacidade: um desenvolvedor, em tempo parcial, sprints de 2 semanas.</t>
  </si>
  <si>
    <t>Stack definida (item 5.1 do escopo): React Native + Expo, NestJS, PostgreSQL + Prisma, React + Vite, BullMQ + Redis, Docker.</t>
  </si>
  <si>
    <t>O Administrador consegue criar o esqueleto de um formulário.</t>
  </si>
  <si>
    <t>Duração:</t>
  </si>
  <si>
    <t>2 semanas</t>
  </si>
  <si>
    <t>Sprint</t>
  </si>
  <si>
    <t>1 semana</t>
  </si>
  <si>
    <t>Marco:</t>
  </si>
  <si>
    <t>—</t>
  </si>
  <si>
    <t>Foco</t>
  </si>
  <si>
    <t>Critério de aceite:</t>
  </si>
  <si>
    <t>Marco</t>
  </si>
  <si>
    <t>Administrador entra pelo aplicativo, Analista é bloqueado em rota restrita e ambas as tentativas aparecem no log de auditoria.</t>
  </si>
  <si>
    <t>Itens</t>
  </si>
  <si>
    <t>Um formulário com pelo menos uma pergunta de cada tipo é criado, editado e recuperado pelo aplicativo.</t>
  </si>
  <si>
    <t>Pontos</t>
  </si>
  <si>
    <t>Concluídos</t>
  </si>
  <si>
    <t>% Concluído</t>
  </si>
  <si>
    <t>Sprint 0</t>
  </si>
  <si>
    <t>Banco criado com a base de municípios da Bahia carregada e consultável; protótipo aprovado.</t>
  </si>
  <si>
    <t>ID</t>
  </si>
  <si>
    <t>Épico</t>
  </si>
  <si>
    <t>Preparação</t>
  </si>
  <si>
    <t>Item do backlog</t>
  </si>
  <si>
    <t>Tipo</t>
  </si>
  <si>
    <t>Prioridade</t>
  </si>
  <si>
    <t>Status</t>
  </si>
  <si>
    <t>Observações</t>
  </si>
  <si>
    <t>S1-01</t>
  </si>
  <si>
    <t>S2-01</t>
  </si>
  <si>
    <t>E2</t>
  </si>
  <si>
    <t>Implementar as entidades formulario, pergunta e alternativa</t>
  </si>
  <si>
    <t>E1</t>
  </si>
  <si>
    <t>Estruturar a API base em NestJS com padronização de erros e versionamento</t>
  </si>
  <si>
    <t>S0-01</t>
  </si>
  <si>
    <t>Técnico</t>
  </si>
  <si>
    <t>Alta</t>
  </si>
  <si>
    <t>Criar os repositórios do app, da API e do painel com padrão de branches</t>
  </si>
  <si>
    <t>Backend</t>
  </si>
  <si>
    <t>A Fazer</t>
  </si>
  <si>
    <t>S2-02</t>
  </si>
  <si>
    <t>S1-02</t>
  </si>
  <si>
    <t>Stack definida: React Native + Expo, NestJS, PostgreSQL + Prisma, React + Vite</t>
  </si>
  <si>
    <t>Configurar HTTPS/TLS</t>
  </si>
  <si>
    <t>CRUD de formulário (título, descrição, período de vigência, status)</t>
  </si>
  <si>
    <t>S0-02</t>
  </si>
  <si>
    <t>S2-03</t>
  </si>
  <si>
    <t>CRUD de perguntas nos cinco tipos previstos</t>
  </si>
  <si>
    <t>Subir ambiente de desenvolvimento e de homologação em Docker</t>
  </si>
  <si>
    <t>S1-03</t>
  </si>
  <si>
    <t>Implementar as entidades usuario, perfil e log_auditoria</t>
  </si>
  <si>
    <t>Escolha única, múltipla escolha, escala/nota, texto livre e número</t>
  </si>
  <si>
    <t>S2-04</t>
  </si>
  <si>
    <t>Inclui configurar o projeto Expo, o projeto NestJS e o Prisma apontando para o PostgreSQL</t>
  </si>
  <si>
    <t>CRUD de alternativas</t>
  </si>
  <si>
    <t>S2-05</t>
  </si>
  <si>
    <t>Marcar pergunta como obrigatória ou opcional</t>
  </si>
  <si>
    <t>S0-03</t>
  </si>
  <si>
    <t>Média</t>
  </si>
  <si>
    <t>Modelar o banco de dados conforme item 5.2 do escopo (diagrama e scripts)</t>
  </si>
  <si>
    <t>S2-06</t>
  </si>
  <si>
    <t>Ordenar perguntas e alternativas</t>
  </si>
  <si>
    <t>Entidades: formulario, pergunta, alternativa, municipio, resposta, resposta_item, usuario, perfil, log_auditoria</t>
  </si>
  <si>
    <t>S1-04</t>
  </si>
  <si>
    <t>Implementar login com senha armazenada em hash forte</t>
  </si>
  <si>
    <t>S2-07</t>
  </si>
  <si>
    <t>Construir as telas da área do Administrador dentro do aplicativo</t>
  </si>
  <si>
    <t>App</t>
  </si>
  <si>
    <t>S0-04</t>
  </si>
  <si>
    <t>Carregar a tabela de municípios da Bahia (417 registros, código IBGE, nome, UF)</t>
  </si>
  <si>
    <t>S1-05</t>
  </si>
  <si>
    <t>S2-08</t>
  </si>
  <si>
    <t>Criar perfis Administrador e Analista com verificação de permissão nas rotas</t>
  </si>
  <si>
    <t>Levantar com o Administrador o rascunho das perguntas reais</t>
  </si>
  <si>
    <t>Gestão</t>
  </si>
  <si>
    <t>Fonte: base oficial do IBGE</t>
  </si>
  <si>
    <t>Antecipado para evitar descobrir na Sprint 8 um tipo de pergunta não previsto</t>
  </si>
  <si>
    <t>Usar guards e roles do NestJS</t>
  </si>
  <si>
    <t>S0-05</t>
  </si>
  <si>
    <t>S1-06</t>
  </si>
  <si>
    <t>Prototipar em baixa fidelidade as telas de coleta, administração e painel</t>
  </si>
  <si>
    <t>Design</t>
  </si>
  <si>
    <t>Criar o Administrador inicial via script de implantação</t>
  </si>
  <si>
    <t>Total de pontos</t>
  </si>
  <si>
    <t>Aprovação necessária antes da Sprint 1</t>
  </si>
  <si>
    <t>Necessário para alguém conseguir montar o primeiro formulário</t>
  </si>
  <si>
    <t>S1-07</t>
  </si>
  <si>
    <t>Encerrar sessão por inatividade</t>
  </si>
  <si>
    <t>S1-08</t>
  </si>
  <si>
    <t>Registrar em auditoria login, alteração de usuário e alteração de permissão</t>
  </si>
  <si>
    <t>S1-09</t>
  </si>
  <si>
    <t>Sprint 1</t>
  </si>
  <si>
    <t>Fundação e autenticação</t>
  </si>
  <si>
    <t>Criar o app em React Native + Expo (mínimo API 29) com tela de login integrada à API</t>
  </si>
  <si>
    <t>Sprint 2</t>
  </si>
  <si>
    <t>Formulários e perguntas</t>
  </si>
  <si>
    <t>Sprint 3</t>
  </si>
  <si>
    <t>Publicação do formulário</t>
  </si>
  <si>
    <t>M1</t>
  </si>
  <si>
    <t>Sprint 4</t>
  </si>
  <si>
    <t>Coleta</t>
  </si>
  <si>
    <t>Sprint 5</t>
  </si>
  <si>
    <t>Integridade</t>
  </si>
  <si>
    <t>M2</t>
  </si>
  <si>
    <t>Sprint 6</t>
  </si>
  <si>
    <t>Painel de resultados</t>
  </si>
  <si>
    <t>Sprint 7</t>
  </si>
  <si>
    <t>Apuração por município e exportação</t>
  </si>
  <si>
    <t>M3</t>
  </si>
  <si>
    <t>Sprint 8</t>
  </si>
  <si>
    <t>Privacidade, distribuição e homologação</t>
  </si>
  <si>
    <t>M4</t>
  </si>
  <si>
    <t>TOTAL</t>
  </si>
  <si>
    <t>Sprint 3 — Publicação do Formulário</t>
  </si>
  <si>
    <t>Transformar o rascunho em pesquisa publicável.</t>
  </si>
  <si>
    <t>M1 — Administrador consegue montar um formulário completo</t>
  </si>
  <si>
    <t>Formulário publicado gera link e QR Code válidos; a tentativa de editar uma pergunta depois de publicado é recusada.</t>
  </si>
  <si>
    <t>S3-01</t>
  </si>
  <si>
    <t>Implementar lógica condicional simples entre perguntas</t>
  </si>
  <si>
    <t>Risco de complexidade — se estourar, entregar apenas mostrar/ocultar por resposta única</t>
  </si>
  <si>
    <t>S3-02</t>
  </si>
  <si>
    <t>Implementar o ciclo de status: rascunho, em coleta, encerrado</t>
  </si>
  <si>
    <t>S3-03</t>
  </si>
  <si>
    <t>Bloquear edição de perguntas após o início da coleta</t>
  </si>
  <si>
    <t>S3-04</t>
  </si>
  <si>
    <t>Pré-visualizar o formulário como o respondente verá</t>
  </si>
  <si>
    <t>S3-05</t>
  </si>
  <si>
    <t>Duplicar formulário existente como base para um novo</t>
  </si>
  <si>
    <t>Baixa</t>
  </si>
  <si>
    <t>S3-06</t>
  </si>
  <si>
    <t>Gerar link e QR Code de acesso</t>
  </si>
  <si>
    <t>Sprint 4 — Coleta</t>
  </si>
  <si>
    <t>O respondente consegue responder de ponta a ponta.</t>
  </si>
  <si>
    <t>Uma resposta completa é enviada e persistida com município e data/hora; ao fechar o app no meio do preenchimento e reabrir, o progresso é recuperado.</t>
  </si>
  <si>
    <t>S4-01</t>
  </si>
  <si>
    <t>E6</t>
  </si>
  <si>
    <t>Tela de consentimento com finalidade, anonimato e prazo de retenção, exigindo aceite</t>
  </si>
  <si>
    <t>Sprint 5 — Integridade</t>
  </si>
  <si>
    <t>Pré-requisito legal — sem aceite não inicia o formulário</t>
  </si>
  <si>
    <t>S4-02</t>
  </si>
  <si>
    <t>E3</t>
  </si>
  <si>
    <t>Garantir que o número apurado signifique alguma coisa.</t>
  </si>
  <si>
    <t>Seleção obrigatória do município em lista fechada com busca por digitação</t>
  </si>
  <si>
    <t>417 municípios da Bahia, identificados por código IBGE</t>
  </si>
  <si>
    <t>S4-03</t>
  </si>
  <si>
    <t>M2 — Pesquisa já pode ser respondida de ponta a ponta</t>
  </si>
  <si>
    <t>Sprint 6 — Painel de Resultados</t>
  </si>
  <si>
    <t>Captura opcional de geolocalização mediante permissão</t>
  </si>
  <si>
    <t>A segunda tentativa pelo mesmo dispositivo é recusada; resposta preenchida em poucos segundos é marcada como suspeita; invalidação manual retira o registro da contagem sem apagá-lo.</t>
  </si>
  <si>
    <t>Uso apenas para conferência</t>
  </si>
  <si>
    <t>S4-04</t>
  </si>
  <si>
    <t>Preenchimento sequencial com validação de campos obrigatórios</t>
  </si>
  <si>
    <t>S4-05</t>
  </si>
  <si>
    <t>S5-01</t>
  </si>
  <si>
    <t>E4</t>
  </si>
  <si>
    <t>Ver os números.</t>
  </si>
  <si>
    <t>Aplicar no app a lógica condicional definida na Sprint 3</t>
  </si>
  <si>
    <t>Bloquear resposta duplicada por dispositivo e por sessão</t>
  </si>
  <si>
    <t>S4-06</t>
  </si>
  <si>
    <t>Identificador armazenado em hash irreversível</t>
  </si>
  <si>
    <t>Implementar as entidades resposta e resposta_item e gravar o envio</t>
  </si>
  <si>
    <t>S5-02</t>
  </si>
  <si>
    <t>Aplicar rate limit por origem e verificação anti-robô</t>
  </si>
  <si>
    <t>Cloudflare Turnstile — menos atrito para o respondente que o reCAPTCHA</t>
  </si>
  <si>
    <t>S4-07</t>
  </si>
  <si>
    <t>S5-03</t>
  </si>
  <si>
    <t>O painel abre em tempo aceitável com a base populada de teste e os filtros alteram corretamente os gráficos.</t>
  </si>
  <si>
    <t>Registrar data/hora de início e de fim do preenchimento</t>
  </si>
  <si>
    <t>Salvar preenchimento parcial localmente e retomar após interrupção</t>
  </si>
  <si>
    <t>S5-04</t>
  </si>
  <si>
    <t>Usar expo-sqlite: resposta parcial com lógica condicional é dado estruturado</t>
  </si>
  <si>
    <t>Marcar automaticamente respostas suspeitas</t>
  </si>
  <si>
    <t>S4-08</t>
  </si>
  <si>
    <t>Reenviar automaticamente caso a conexão falhe no momento do envio</t>
  </si>
  <si>
    <t>Tempo muito baixo, padrão repetitivo de alternativas, volume anômalo da mesma origem</t>
  </si>
  <si>
    <t>S5-05</t>
  </si>
  <si>
    <t>Marcar para conferência resposta com município fora da Bahia</t>
  </si>
  <si>
    <t>S4-09</t>
  </si>
  <si>
    <t>S5-06</t>
  </si>
  <si>
    <t>Permitir invalidação manual pelo Administrador, sem exclusão física</t>
  </si>
  <si>
    <t>Tela de confirmação final</t>
  </si>
  <si>
    <t>S5-07</t>
  </si>
  <si>
    <t>S6-01</t>
  </si>
  <si>
    <t>E5</t>
  </si>
  <si>
    <t>Criar a rotina de agregação pré-calculada dos resultados</t>
  </si>
  <si>
    <t>Criar o painel web em React + Vite, reaproveitando a autenticação da Sprint 1</t>
  </si>
  <si>
    <t>Views materializadas no PostgreSQL, atualizadas por job BullMQ</t>
  </si>
  <si>
    <t>Frontend</t>
  </si>
  <si>
    <t>S5-08</t>
  </si>
  <si>
    <t>E7</t>
  </si>
  <si>
    <t>Teste de carga reduzido, antecipado</t>
  </si>
  <si>
    <t>Antecipa a descoberta de problema de infraestrutura, que na Sprint 8 seria tarde</t>
  </si>
  <si>
    <t>Sprint 7 — Apuração por Município e Exportação</t>
  </si>
  <si>
    <t>S6-02</t>
  </si>
  <si>
    <t>Exibir indicadores gerais (total, municípios alcançados, válidas x invalidadas)</t>
  </si>
  <si>
    <t>S6-03</t>
  </si>
  <si>
    <t>Gráfico de barras da intenção de voto por candidato</t>
  </si>
  <si>
    <t>Recharts; migrar para ECharts se entrar mapa por município</t>
  </si>
  <si>
    <t>S6-04</t>
  </si>
  <si>
    <t>Entregar o resultado no formato em que ele será usado.</t>
  </si>
  <si>
    <t>Gráfico de pizza com a distribuição percentual</t>
  </si>
  <si>
    <t>S6-05</t>
  </si>
  <si>
    <t>Gráfico de linhas com a evolução da coleta ao longo do tempo</t>
  </si>
  <si>
    <t>S6-06</t>
  </si>
  <si>
    <t>M3 — Resultados visíveis e exportáveis</t>
  </si>
  <si>
    <t>Filtros por município, período, formulário e pergunta</t>
  </si>
  <si>
    <t>Os totais do painel batem com os do arquivo exportado; a exportação aparece no log de auditoria com usuário e data/hora.</t>
  </si>
  <si>
    <t>S6-07</t>
  </si>
  <si>
    <t>Consumir as agregações pré-calculadas, sem recalcular a cada consulta</t>
  </si>
  <si>
    <t>S7-01</t>
  </si>
  <si>
    <t>Tabela ranqueada por município com valores absolutos e percentuais</t>
  </si>
  <si>
    <t>Entrega o objetivo central do projeto: apuração por município</t>
  </si>
  <si>
    <t>S7-02</t>
  </si>
  <si>
    <t>Visualização de cobertura: municípios alcançados e não alcançados</t>
  </si>
  <si>
    <t>S7-03</t>
  </si>
  <si>
    <t>Cruzamento entre perguntas</t>
  </si>
  <si>
    <t>Exemplo: intenção de voto por faixa etária</t>
  </si>
  <si>
    <t>S7-04</t>
  </si>
  <si>
    <t>Exportação em CSV e XLSX</t>
  </si>
  <si>
    <t>ExcelJS</t>
  </si>
  <si>
    <t>S7-05</t>
  </si>
  <si>
    <t>Exportação em PDF com gráficos e tabelas</t>
  </si>
  <si>
    <t>Puppeteer renderizando o próprio painel, sem reimplementar os gráficos</t>
  </si>
  <si>
    <t>S7-06</t>
  </si>
  <si>
    <t>Registrar em auditoria toda exportação realizada</t>
  </si>
  <si>
    <t>Sprint 8 — Privacidade, Distribuição e Homologação</t>
  </si>
  <si>
    <t>Deixar o sistema apto ao disparo real.</t>
  </si>
  <si>
    <t>M4 — Sistema pronto para o disparo real</t>
  </si>
  <si>
    <t>Teste de carga aprovado, expurgo validado em homologação e APK instalado com sucesso em aparelho real a partir da página de download.</t>
  </si>
  <si>
    <t>S8-01</t>
  </si>
  <si>
    <t>Rotina de expurgo automático das respostas após 4 anos do encerramento</t>
  </si>
  <si>
    <t>Job agendado em BullMQ</t>
  </si>
  <si>
    <t>S8-02</t>
  </si>
  <si>
    <t>Expurgo dos dados técnicos de duplicidade no encerramento da coleta</t>
  </si>
  <si>
    <t>S8-03</t>
  </si>
  <si>
    <t>Revisar conformidade com a LGPD e o texto de consentimento</t>
  </si>
  <si>
    <t>S8-04</t>
  </si>
  <si>
    <t>Configurar e testar backup periódico da base</t>
  </si>
  <si>
    <t>S8-05</t>
  </si>
  <si>
    <t>Verificar versão ao abrir o app, com aviso e link de atualização</t>
  </si>
  <si>
    <t>expo-updates — substitui a atualização automática que a loja faria</t>
  </si>
  <si>
    <t>S8-06</t>
  </si>
  <si>
    <t>Gerar e assinar o APK com chave própria</t>
  </si>
  <si>
    <t>EAS Build</t>
  </si>
  <si>
    <t>S8-07</t>
  </si>
  <si>
    <t>Publicar página de download com passo a passo de instalação e hash do arquivo</t>
  </si>
  <si>
    <t>Reduz o atrito de instalação e o risco de APK adulterado</t>
  </si>
  <si>
    <t>S8-08</t>
  </si>
  <si>
    <t>Teste de carga no porte projetado</t>
  </si>
  <si>
    <t>100 mil respostas em base e pico de 300 envios por minuto</t>
  </si>
  <si>
    <t>S8-09</t>
  </si>
  <si>
    <t>Testar instalação em ao menos três modelos e versões de Android</t>
  </si>
  <si>
    <t>S8-10</t>
  </si>
  <si>
    <t>Escrever o manual do Administrador e do Analista</t>
  </si>
  <si>
    <t>S8-11</t>
  </si>
  <si>
    <t>Homologação assistida com o Administrador montando um formulário real</t>
  </si>
  <si>
    <t>Concluído</t>
  </si>
  <si>
    <t>Em Andamento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</si>
</sst>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5" width="10.0"/>
    <col customWidth="1" min="6" max="7" width="13.0"/>
    <col customWidth="1" min="8" max="26" width="8.71"/>
  </cols>
  <sheetData>
    <row r="1">
      <c r="A1" s="1" t="s">
        <v>0</v>
      </c>
    </row>
    <row r="2">
      <c r="A2" s="3" t="s">
        <v>4</v>
      </c>
    </row>
    <row r="4">
      <c r="A4" s="5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  <row r="9">
      <c r="A9" s="3"/>
    </row>
    <row r="10">
      <c r="A10" s="3" t="s">
        <v>11</v>
      </c>
    </row>
    <row r="11">
      <c r="A11" s="3" t="s">
        <v>13</v>
      </c>
    </row>
    <row r="12">
      <c r="A12" s="3" t="s">
        <v>15</v>
      </c>
    </row>
    <row r="13">
      <c r="A13" s="3" t="s">
        <v>16</v>
      </c>
    </row>
    <row r="15">
      <c r="A15" s="8" t="s">
        <v>20</v>
      </c>
      <c r="B15" s="8" t="s">
        <v>24</v>
      </c>
      <c r="C15" s="8" t="s">
        <v>26</v>
      </c>
      <c r="D15" s="8" t="s">
        <v>28</v>
      </c>
      <c r="E15" s="8" t="s">
        <v>30</v>
      </c>
      <c r="F15" s="8" t="s">
        <v>31</v>
      </c>
      <c r="G15" s="8" t="s">
        <v>32</v>
      </c>
    </row>
    <row r="16">
      <c r="A16" s="9" t="s">
        <v>33</v>
      </c>
      <c r="B16" s="10" t="s">
        <v>37</v>
      </c>
      <c r="C16" s="9" t="s">
        <v>23</v>
      </c>
      <c r="D16" s="9">
        <f>COUNTA('Sprint 0'!A8:A12)</f>
        <v>5</v>
      </c>
      <c r="E16" s="9">
        <f>SUM('Sprint 0'!F8:F12)</f>
        <v>20</v>
      </c>
      <c r="F16" s="9">
        <f>COUNTIF('Sprint 0'!G8:G12,"Concluído")</f>
        <v>0</v>
      </c>
      <c r="G16" s="14">
        <f t="shared" ref="G16:G25" si="1">IFERROR(F16/D16,0)</f>
        <v>0</v>
      </c>
    </row>
    <row r="17">
      <c r="A17" s="9" t="s">
        <v>106</v>
      </c>
      <c r="B17" s="10" t="s">
        <v>107</v>
      </c>
      <c r="C17" s="9" t="s">
        <v>23</v>
      </c>
      <c r="D17" s="9">
        <f>COUNTA('Sprint 1'!A8:A16)</f>
        <v>9</v>
      </c>
      <c r="E17" s="9">
        <f>SUM('Sprint 1'!F8:F16)</f>
        <v>32</v>
      </c>
      <c r="F17" s="9">
        <f>COUNTIF('Sprint 1'!G8:G16,"Concluído")</f>
        <v>0</v>
      </c>
      <c r="G17" s="14">
        <f t="shared" si="1"/>
        <v>0</v>
      </c>
    </row>
    <row r="18">
      <c r="A18" s="9" t="s">
        <v>109</v>
      </c>
      <c r="B18" s="10" t="s">
        <v>110</v>
      </c>
      <c r="C18" s="9" t="s">
        <v>23</v>
      </c>
      <c r="D18" s="9">
        <f>COUNTA('Sprint 2'!A8:A15)</f>
        <v>8</v>
      </c>
      <c r="E18" s="9">
        <f>SUM('Sprint 2'!F8:F15)</f>
        <v>34</v>
      </c>
      <c r="F18" s="9">
        <f>COUNTIF('Sprint 2'!G8:G15,"Concluído")</f>
        <v>0</v>
      </c>
      <c r="G18" s="14">
        <f t="shared" si="1"/>
        <v>0</v>
      </c>
    </row>
    <row r="19">
      <c r="A19" s="9" t="s">
        <v>111</v>
      </c>
      <c r="B19" s="10" t="s">
        <v>112</v>
      </c>
      <c r="C19" s="9" t="s">
        <v>113</v>
      </c>
      <c r="D19" s="9">
        <f>COUNTA('Sprint 3'!A8:A13)</f>
        <v>6</v>
      </c>
      <c r="E19" s="9">
        <f>SUM('Sprint 3'!F8:F13)</f>
        <v>25</v>
      </c>
      <c r="F19" s="9">
        <f>COUNTIF('Sprint 3'!G8:G13,"Concluído")</f>
        <v>0</v>
      </c>
      <c r="G19" s="14">
        <f t="shared" si="1"/>
        <v>0</v>
      </c>
    </row>
    <row r="20">
      <c r="A20" s="9" t="s">
        <v>114</v>
      </c>
      <c r="B20" s="10" t="s">
        <v>115</v>
      </c>
      <c r="C20" s="9" t="s">
        <v>23</v>
      </c>
      <c r="D20" s="9">
        <f>COUNTA('Sprint 4'!A8:A16)</f>
        <v>9</v>
      </c>
      <c r="E20" s="9">
        <f>SUM('Sprint 4'!F8:F16)</f>
        <v>41</v>
      </c>
      <c r="F20" s="9">
        <f>COUNTIF('Sprint 4'!G8:G16,"Concluído")</f>
        <v>0</v>
      </c>
      <c r="G20" s="14">
        <f t="shared" si="1"/>
        <v>0</v>
      </c>
    </row>
    <row r="21" ht="15.75" customHeight="1">
      <c r="A21" s="9" t="s">
        <v>116</v>
      </c>
      <c r="B21" s="10" t="s">
        <v>117</v>
      </c>
      <c r="C21" s="9" t="s">
        <v>118</v>
      </c>
      <c r="D21" s="9">
        <f>COUNTA('Sprint 5'!A8:A15)</f>
        <v>8</v>
      </c>
      <c r="E21" s="9">
        <f>SUM('Sprint 5'!F8:F15)</f>
        <v>38</v>
      </c>
      <c r="F21" s="9">
        <f>COUNTIF('Sprint 5'!G8:G15,"Concluído")</f>
        <v>0</v>
      </c>
      <c r="G21" s="14">
        <f t="shared" si="1"/>
        <v>0</v>
      </c>
    </row>
    <row r="22" ht="15.75" customHeight="1">
      <c r="A22" s="9" t="s">
        <v>119</v>
      </c>
      <c r="B22" s="10" t="s">
        <v>120</v>
      </c>
      <c r="C22" s="9" t="s">
        <v>23</v>
      </c>
      <c r="D22" s="9">
        <f>COUNTA('Sprint 6'!A8:A14)</f>
        <v>7</v>
      </c>
      <c r="E22" s="9">
        <f>SUM('Sprint 6'!F8:F14)</f>
        <v>37</v>
      </c>
      <c r="F22" s="9">
        <f>COUNTIF('Sprint 6'!G8:G14,"Concluído")</f>
        <v>0</v>
      </c>
      <c r="G22" s="14">
        <f t="shared" si="1"/>
        <v>0</v>
      </c>
    </row>
    <row r="23" ht="15.75" customHeight="1">
      <c r="A23" s="9" t="s">
        <v>121</v>
      </c>
      <c r="B23" s="10" t="s">
        <v>122</v>
      </c>
      <c r="C23" s="9" t="s">
        <v>123</v>
      </c>
      <c r="D23" s="9">
        <f>COUNTA('Sprint 7'!A8:A13)</f>
        <v>6</v>
      </c>
      <c r="E23" s="9">
        <f>SUM('Sprint 7'!F8:F13)</f>
        <v>30</v>
      </c>
      <c r="F23" s="9">
        <f>COUNTIF('Sprint 7'!G8:G13,"Concluído")</f>
        <v>0</v>
      </c>
      <c r="G23" s="14">
        <f t="shared" si="1"/>
        <v>0</v>
      </c>
    </row>
    <row r="24" ht="15.75" customHeight="1">
      <c r="A24" s="9" t="s">
        <v>124</v>
      </c>
      <c r="B24" s="10" t="s">
        <v>125</v>
      </c>
      <c r="C24" s="9" t="s">
        <v>126</v>
      </c>
      <c r="D24" s="9">
        <f>COUNTA('Sprint 8'!A8:A18)</f>
        <v>11</v>
      </c>
      <c r="E24" s="9">
        <f>SUM('Sprint 8'!F8:F18)</f>
        <v>45</v>
      </c>
      <c r="F24" s="9">
        <f>COUNTIF('Sprint 8'!G8:G18,"Concluído")</f>
        <v>0</v>
      </c>
      <c r="G24" s="14">
        <f t="shared" si="1"/>
        <v>0</v>
      </c>
    </row>
    <row r="25" ht="15.75" customHeight="1">
      <c r="A25" s="16" t="s">
        <v>127</v>
      </c>
      <c r="B25" s="17"/>
      <c r="C25" s="16"/>
      <c r="D25" s="16">
        <f t="shared" ref="D25:F25" si="2">SUM(D16:D24)</f>
        <v>69</v>
      </c>
      <c r="E25" s="16">
        <f t="shared" si="2"/>
        <v>302</v>
      </c>
      <c r="F25" s="16">
        <f t="shared" si="2"/>
        <v>0</v>
      </c>
      <c r="G25" s="18">
        <f t="shared" si="1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6" t="s">
        <v>10</v>
      </c>
      <c r="B2" s="7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 t="s">
        <v>18</v>
      </c>
      <c r="B3" s="7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0.0" customHeight="1">
      <c r="A5" s="6" t="s">
        <v>25</v>
      </c>
      <c r="B5" s="7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1" t="s">
        <v>49</v>
      </c>
      <c r="B8" s="11" t="s">
        <v>47</v>
      </c>
      <c r="C8" s="12" t="s">
        <v>52</v>
      </c>
      <c r="D8" s="11" t="s">
        <v>50</v>
      </c>
      <c r="E8" s="11" t="s">
        <v>51</v>
      </c>
      <c r="F8" s="11">
        <v>2.0</v>
      </c>
      <c r="G8" s="11" t="s">
        <v>271</v>
      </c>
      <c r="H8" s="12" t="s">
        <v>57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1" t="s">
        <v>60</v>
      </c>
      <c r="B9" s="11" t="s">
        <v>47</v>
      </c>
      <c r="C9" s="12" t="s">
        <v>63</v>
      </c>
      <c r="D9" s="11" t="s">
        <v>50</v>
      </c>
      <c r="E9" s="11" t="s">
        <v>51</v>
      </c>
      <c r="F9" s="11">
        <v>5.0</v>
      </c>
      <c r="G9" s="11" t="s">
        <v>271</v>
      </c>
      <c r="H9" s="12" t="s">
        <v>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11" t="s">
        <v>72</v>
      </c>
      <c r="B10" s="11" t="s">
        <v>47</v>
      </c>
      <c r="C10" s="12" t="s">
        <v>74</v>
      </c>
      <c r="D10" s="11" t="s">
        <v>50</v>
      </c>
      <c r="E10" s="11" t="s">
        <v>51</v>
      </c>
      <c r="F10" s="11">
        <v>5.0</v>
      </c>
      <c r="G10" s="11" t="s">
        <v>271</v>
      </c>
      <c r="H10" s="12" t="s">
        <v>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11" t="s">
        <v>83</v>
      </c>
      <c r="B11" s="11" t="s">
        <v>47</v>
      </c>
      <c r="C11" s="12" t="s">
        <v>84</v>
      </c>
      <c r="D11" s="11" t="s">
        <v>50</v>
      </c>
      <c r="E11" s="11" t="s">
        <v>51</v>
      </c>
      <c r="F11" s="11">
        <v>3.0</v>
      </c>
      <c r="G11" s="11" t="s">
        <v>271</v>
      </c>
      <c r="H11" s="12" t="s">
        <v>90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1" t="s">
        <v>93</v>
      </c>
      <c r="B12" s="11" t="s">
        <v>47</v>
      </c>
      <c r="C12" s="12" t="s">
        <v>95</v>
      </c>
      <c r="D12" s="11" t="s">
        <v>96</v>
      </c>
      <c r="E12" s="11" t="s">
        <v>73</v>
      </c>
      <c r="F12" s="11">
        <v>5.0</v>
      </c>
      <c r="G12" s="11" t="s">
        <v>271</v>
      </c>
      <c r="H12" s="12" t="s">
        <v>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13" t="s">
        <v>98</v>
      </c>
      <c r="F14" s="15">
        <f>SUM(F8:F12)</f>
        <v>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13" t="s">
        <v>31</v>
      </c>
      <c r="F15" s="15">
        <f>COUNTIF(G8:G12,"Concluído")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2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14"/>
    <col customWidth="1" min="2" max="2" width="66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43</v>
      </c>
      <c r="B8" s="11" t="s">
        <v>47</v>
      </c>
      <c r="C8" s="12" t="s">
        <v>48</v>
      </c>
      <c r="D8" s="11" t="s">
        <v>50</v>
      </c>
      <c r="E8" s="11" t="s">
        <v>51</v>
      </c>
      <c r="F8" s="11">
        <v>5.0</v>
      </c>
      <c r="G8" s="11" t="s">
        <v>271</v>
      </c>
      <c r="H8" s="12"/>
      <c r="I8" s="4"/>
      <c r="J8" s="4"/>
      <c r="K8" s="4"/>
      <c r="L8" s="4"/>
    </row>
    <row r="9">
      <c r="A9" s="11" t="s">
        <v>56</v>
      </c>
      <c r="B9" s="11" t="s">
        <v>47</v>
      </c>
      <c r="C9" s="12" t="s">
        <v>58</v>
      </c>
      <c r="D9" s="11" t="s">
        <v>50</v>
      </c>
      <c r="E9" s="11" t="s">
        <v>51</v>
      </c>
      <c r="F9" s="11">
        <v>2.0</v>
      </c>
      <c r="G9" s="11" t="s">
        <v>271</v>
      </c>
      <c r="H9" s="12"/>
      <c r="I9" s="4"/>
      <c r="J9" s="4"/>
      <c r="K9" s="4"/>
      <c r="L9" s="4"/>
    </row>
    <row r="10">
      <c r="A10" s="11" t="s">
        <v>64</v>
      </c>
      <c r="B10" s="11" t="s">
        <v>47</v>
      </c>
      <c r="C10" s="12" t="s">
        <v>65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  <c r="L10" s="4"/>
    </row>
    <row r="11">
      <c r="A11" s="11" t="s">
        <v>78</v>
      </c>
      <c r="B11" s="11" t="s">
        <v>47</v>
      </c>
      <c r="C11" s="12" t="s">
        <v>79</v>
      </c>
      <c r="D11" s="11" t="s">
        <v>53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  <c r="L11" s="4"/>
    </row>
    <row r="12">
      <c r="A12" s="11" t="s">
        <v>85</v>
      </c>
      <c r="B12" s="11" t="s">
        <v>47</v>
      </c>
      <c r="C12" s="12" t="s">
        <v>87</v>
      </c>
      <c r="D12" s="11" t="s">
        <v>53</v>
      </c>
      <c r="E12" s="11" t="s">
        <v>51</v>
      </c>
      <c r="F12" s="11">
        <v>5.0</v>
      </c>
      <c r="G12" s="11" t="s">
        <v>271</v>
      </c>
      <c r="H12" s="12" t="s">
        <v>92</v>
      </c>
      <c r="I12" s="4"/>
      <c r="J12" s="4"/>
      <c r="K12" s="4"/>
      <c r="L12" s="4"/>
    </row>
    <row r="13">
      <c r="A13" s="11" t="s">
        <v>94</v>
      </c>
      <c r="B13" s="11" t="s">
        <v>47</v>
      </c>
      <c r="C13" s="12" t="s">
        <v>97</v>
      </c>
      <c r="D13" s="11" t="s">
        <v>50</v>
      </c>
      <c r="E13" s="11" t="s">
        <v>51</v>
      </c>
      <c r="F13" s="11">
        <v>2.0</v>
      </c>
      <c r="G13" s="11" t="s">
        <v>271</v>
      </c>
      <c r="H13" s="12" t="s">
        <v>100</v>
      </c>
      <c r="I13" s="4"/>
      <c r="J13" s="4"/>
      <c r="K13" s="4"/>
      <c r="L13" s="4"/>
    </row>
    <row r="14">
      <c r="A14" s="11" t="s">
        <v>101</v>
      </c>
      <c r="B14" s="11" t="s">
        <v>47</v>
      </c>
      <c r="C14" s="12" t="s">
        <v>102</v>
      </c>
      <c r="D14" s="11" t="s">
        <v>53</v>
      </c>
      <c r="E14" s="11" t="s">
        <v>73</v>
      </c>
      <c r="F14" s="11">
        <v>2.0</v>
      </c>
      <c r="G14" s="11" t="s">
        <v>271</v>
      </c>
      <c r="H14" s="12"/>
      <c r="I14" s="4"/>
      <c r="J14" s="4"/>
      <c r="K14" s="4"/>
      <c r="L14" s="4"/>
    </row>
    <row r="15">
      <c r="A15" s="11" t="s">
        <v>103</v>
      </c>
      <c r="B15" s="11" t="s">
        <v>47</v>
      </c>
      <c r="C15" s="12" t="s">
        <v>104</v>
      </c>
      <c r="D15" s="11" t="s">
        <v>53</v>
      </c>
      <c r="E15" s="11" t="s">
        <v>51</v>
      </c>
      <c r="F15" s="11">
        <v>3.0</v>
      </c>
      <c r="G15" s="11" t="s">
        <v>271</v>
      </c>
      <c r="H15" s="12"/>
      <c r="I15" s="4"/>
      <c r="J15" s="4"/>
      <c r="K15" s="4"/>
      <c r="L15" s="4"/>
    </row>
    <row r="16">
      <c r="A16" s="11" t="s">
        <v>105</v>
      </c>
      <c r="B16" s="11" t="s">
        <v>47</v>
      </c>
      <c r="C16" s="12" t="s">
        <v>108</v>
      </c>
      <c r="D16" s="11" t="s">
        <v>82</v>
      </c>
      <c r="E16" s="11" t="s">
        <v>51</v>
      </c>
      <c r="F16" s="11">
        <v>5.0</v>
      </c>
      <c r="G16" s="11" t="s">
        <v>271</v>
      </c>
      <c r="H16" s="12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13" t="s">
        <v>98</v>
      </c>
      <c r="F18" s="15">
        <f>SUM(F8:F16)</f>
        <v>32</v>
      </c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43"/>
    <col customWidth="1" min="2" max="2" width="5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29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44</v>
      </c>
      <c r="B8" s="11" t="s">
        <v>45</v>
      </c>
      <c r="C8" s="12" t="s">
        <v>46</v>
      </c>
      <c r="D8" s="11" t="s">
        <v>53</v>
      </c>
      <c r="E8" s="11" t="s">
        <v>51</v>
      </c>
      <c r="F8" s="11">
        <v>3.0</v>
      </c>
      <c r="G8" s="11" t="s">
        <v>271</v>
      </c>
      <c r="H8" s="12"/>
      <c r="I8" s="4"/>
    </row>
    <row r="9">
      <c r="A9" s="11" t="s">
        <v>55</v>
      </c>
      <c r="B9" s="11" t="s">
        <v>45</v>
      </c>
      <c r="C9" s="12" t="s">
        <v>59</v>
      </c>
      <c r="D9" s="11" t="s">
        <v>53</v>
      </c>
      <c r="E9" s="11" t="s">
        <v>51</v>
      </c>
      <c r="F9" s="11">
        <v>5.0</v>
      </c>
      <c r="G9" s="11" t="s">
        <v>271</v>
      </c>
      <c r="H9" s="12"/>
      <c r="I9" s="4"/>
    </row>
    <row r="10">
      <c r="A10" s="11" t="s">
        <v>61</v>
      </c>
      <c r="B10" s="11" t="s">
        <v>45</v>
      </c>
      <c r="C10" s="12" t="s">
        <v>62</v>
      </c>
      <c r="D10" s="11" t="s">
        <v>53</v>
      </c>
      <c r="E10" s="11" t="s">
        <v>51</v>
      </c>
      <c r="F10" s="11">
        <v>8.0</v>
      </c>
      <c r="G10" s="11" t="s">
        <v>271</v>
      </c>
      <c r="H10" s="12" t="s">
        <v>66</v>
      </c>
      <c r="I10" s="4"/>
    </row>
    <row r="11">
      <c r="A11" s="11" t="s">
        <v>67</v>
      </c>
      <c r="B11" s="11" t="s">
        <v>45</v>
      </c>
      <c r="C11" s="12" t="s">
        <v>69</v>
      </c>
      <c r="D11" s="11" t="s">
        <v>53</v>
      </c>
      <c r="E11" s="11" t="s">
        <v>51</v>
      </c>
      <c r="F11" s="11">
        <v>3.0</v>
      </c>
      <c r="G11" s="11" t="s">
        <v>271</v>
      </c>
      <c r="H11" s="12"/>
      <c r="I11" s="4"/>
    </row>
    <row r="12">
      <c r="A12" s="11" t="s">
        <v>70</v>
      </c>
      <c r="B12" s="11" t="s">
        <v>45</v>
      </c>
      <c r="C12" s="12" t="s">
        <v>71</v>
      </c>
      <c r="D12" s="11" t="s">
        <v>53</v>
      </c>
      <c r="E12" s="11" t="s">
        <v>73</v>
      </c>
      <c r="F12" s="11">
        <v>2.0</v>
      </c>
      <c r="G12" s="11" t="s">
        <v>271</v>
      </c>
      <c r="H12" s="12"/>
      <c r="I12" s="4"/>
    </row>
    <row r="13">
      <c r="A13" s="11" t="s">
        <v>75</v>
      </c>
      <c r="B13" s="11" t="s">
        <v>45</v>
      </c>
      <c r="C13" s="12" t="s">
        <v>76</v>
      </c>
      <c r="D13" s="11" t="s">
        <v>53</v>
      </c>
      <c r="E13" s="11" t="s">
        <v>73</v>
      </c>
      <c r="F13" s="11">
        <v>3.0</v>
      </c>
      <c r="G13" s="11" t="s">
        <v>271</v>
      </c>
      <c r="H13" s="12"/>
      <c r="I13" s="4"/>
    </row>
    <row r="14">
      <c r="A14" s="11" t="s">
        <v>80</v>
      </c>
      <c r="B14" s="11" t="s">
        <v>45</v>
      </c>
      <c r="C14" s="12" t="s">
        <v>81</v>
      </c>
      <c r="D14" s="11" t="s">
        <v>82</v>
      </c>
      <c r="E14" s="11" t="s">
        <v>51</v>
      </c>
      <c r="F14" s="11">
        <v>8.0</v>
      </c>
      <c r="G14" s="11" t="s">
        <v>271</v>
      </c>
      <c r="H14" s="12"/>
      <c r="I14" s="4"/>
    </row>
    <row r="15">
      <c r="A15" s="11" t="s">
        <v>86</v>
      </c>
      <c r="B15" s="11" t="s">
        <v>45</v>
      </c>
      <c r="C15" s="12" t="s">
        <v>88</v>
      </c>
      <c r="D15" s="11" t="s">
        <v>89</v>
      </c>
      <c r="E15" s="11" t="s">
        <v>51</v>
      </c>
      <c r="F15" s="11">
        <v>2.0</v>
      </c>
      <c r="G15" s="11" t="s">
        <v>272</v>
      </c>
      <c r="H15" s="12" t="s">
        <v>91</v>
      </c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13" t="s">
        <v>98</v>
      </c>
      <c r="F17" s="15">
        <f>SUM(F8:F15)</f>
        <v>34</v>
      </c>
      <c r="G17" s="4"/>
      <c r="H17" s="4"/>
      <c r="I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14"/>
    <col customWidth="1" min="2" max="2" width="56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10</v>
      </c>
      <c r="B2" s="7" t="s">
        <v>129</v>
      </c>
      <c r="C2" s="4"/>
      <c r="D2" s="4"/>
      <c r="E2" s="4"/>
      <c r="F2" s="4"/>
      <c r="G2" s="4"/>
      <c r="H2" s="4"/>
      <c r="I2" s="4"/>
      <c r="J2" s="4"/>
      <c r="K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22</v>
      </c>
      <c r="B4" s="7" t="s">
        <v>130</v>
      </c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6" t="s">
        <v>25</v>
      </c>
      <c r="B5" s="7" t="s">
        <v>131</v>
      </c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</row>
    <row r="8">
      <c r="A8" s="11" t="s">
        <v>132</v>
      </c>
      <c r="B8" s="11" t="s">
        <v>45</v>
      </c>
      <c r="C8" s="12" t="s">
        <v>133</v>
      </c>
      <c r="D8" s="11" t="s">
        <v>53</v>
      </c>
      <c r="E8" s="11" t="s">
        <v>51</v>
      </c>
      <c r="F8" s="11">
        <v>8.0</v>
      </c>
      <c r="G8" s="11" t="s">
        <v>271</v>
      </c>
      <c r="H8" s="12" t="s">
        <v>134</v>
      </c>
      <c r="I8" s="4"/>
      <c r="J8" s="4"/>
      <c r="K8" s="4"/>
    </row>
    <row r="9">
      <c r="A9" s="11" t="s">
        <v>135</v>
      </c>
      <c r="B9" s="11" t="s">
        <v>45</v>
      </c>
      <c r="C9" s="12" t="s">
        <v>136</v>
      </c>
      <c r="D9" s="11" t="s">
        <v>53</v>
      </c>
      <c r="E9" s="11" t="s">
        <v>51</v>
      </c>
      <c r="F9" s="11">
        <v>3.0</v>
      </c>
      <c r="G9" s="11" t="s">
        <v>271</v>
      </c>
      <c r="H9" s="12"/>
      <c r="I9" s="4"/>
      <c r="J9" s="4"/>
      <c r="K9" s="4"/>
    </row>
    <row r="10">
      <c r="A10" s="11" t="s">
        <v>137</v>
      </c>
      <c r="B10" s="11" t="s">
        <v>45</v>
      </c>
      <c r="C10" s="12" t="s">
        <v>138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</row>
    <row r="11">
      <c r="A11" s="11" t="s">
        <v>139</v>
      </c>
      <c r="B11" s="11" t="s">
        <v>45</v>
      </c>
      <c r="C11" s="12" t="s">
        <v>140</v>
      </c>
      <c r="D11" s="11" t="s">
        <v>82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</row>
    <row r="12">
      <c r="A12" s="11" t="s">
        <v>141</v>
      </c>
      <c r="B12" s="11" t="s">
        <v>45</v>
      </c>
      <c r="C12" s="12" t="s">
        <v>142</v>
      </c>
      <c r="D12" s="11" t="s">
        <v>53</v>
      </c>
      <c r="E12" s="11" t="s">
        <v>143</v>
      </c>
      <c r="F12" s="11">
        <v>3.0</v>
      </c>
      <c r="G12" s="11" t="s">
        <v>271</v>
      </c>
      <c r="H12" s="12"/>
      <c r="I12" s="4"/>
      <c r="J12" s="4"/>
      <c r="K12" s="4"/>
    </row>
    <row r="13">
      <c r="A13" s="11" t="s">
        <v>144</v>
      </c>
      <c r="B13" s="11" t="s">
        <v>45</v>
      </c>
      <c r="C13" s="12" t="s">
        <v>145</v>
      </c>
      <c r="D13" s="11" t="s">
        <v>53</v>
      </c>
      <c r="E13" s="11" t="s">
        <v>51</v>
      </c>
      <c r="F13" s="11">
        <v>3.0</v>
      </c>
      <c r="G13" s="11" t="s">
        <v>271</v>
      </c>
      <c r="H13" s="12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13" t="s">
        <v>98</v>
      </c>
      <c r="F15" s="15">
        <f>SUM(F8:F13)</f>
        <v>25</v>
      </c>
      <c r="G15" s="4"/>
      <c r="H15" s="4"/>
      <c r="I15" s="4"/>
      <c r="J15" s="4"/>
      <c r="K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68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146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147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148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149</v>
      </c>
      <c r="B8" s="11" t="s">
        <v>150</v>
      </c>
      <c r="C8" s="12" t="s">
        <v>151</v>
      </c>
      <c r="D8" s="11" t="s">
        <v>82</v>
      </c>
      <c r="E8" s="11" t="s">
        <v>51</v>
      </c>
      <c r="F8" s="11">
        <v>5.0</v>
      </c>
      <c r="G8" s="11" t="s">
        <v>271</v>
      </c>
      <c r="H8" s="12" t="s">
        <v>153</v>
      </c>
      <c r="I8" s="4"/>
    </row>
    <row r="9">
      <c r="A9" s="11" t="s">
        <v>154</v>
      </c>
      <c r="B9" s="11" t="s">
        <v>155</v>
      </c>
      <c r="C9" s="12" t="s">
        <v>157</v>
      </c>
      <c r="D9" s="11" t="s">
        <v>82</v>
      </c>
      <c r="E9" s="11" t="s">
        <v>51</v>
      </c>
      <c r="F9" s="11">
        <v>5.0</v>
      </c>
      <c r="G9" s="11" t="s">
        <v>271</v>
      </c>
      <c r="H9" s="12" t="s">
        <v>158</v>
      </c>
      <c r="I9" s="4"/>
    </row>
    <row r="10">
      <c r="A10" s="11" t="s">
        <v>159</v>
      </c>
      <c r="B10" s="11" t="s">
        <v>155</v>
      </c>
      <c r="C10" s="12" t="s">
        <v>162</v>
      </c>
      <c r="D10" s="11" t="s">
        <v>82</v>
      </c>
      <c r="E10" s="11" t="s">
        <v>143</v>
      </c>
      <c r="F10" s="11">
        <v>3.0</v>
      </c>
      <c r="G10" s="11" t="s">
        <v>271</v>
      </c>
      <c r="H10" s="12" t="s">
        <v>164</v>
      </c>
      <c r="I10" s="4"/>
    </row>
    <row r="11">
      <c r="A11" s="11" t="s">
        <v>165</v>
      </c>
      <c r="B11" s="11" t="s">
        <v>155</v>
      </c>
      <c r="C11" s="12" t="s">
        <v>166</v>
      </c>
      <c r="D11" s="11" t="s">
        <v>82</v>
      </c>
      <c r="E11" s="11" t="s">
        <v>51</v>
      </c>
      <c r="F11" s="11">
        <v>8.0</v>
      </c>
      <c r="G11" s="11" t="s">
        <v>271</v>
      </c>
      <c r="H11" s="12"/>
      <c r="I11" s="4"/>
    </row>
    <row r="12">
      <c r="A12" s="11" t="s">
        <v>167</v>
      </c>
      <c r="B12" s="11" t="s">
        <v>155</v>
      </c>
      <c r="C12" s="12" t="s">
        <v>171</v>
      </c>
      <c r="D12" s="11" t="s">
        <v>82</v>
      </c>
      <c r="E12" s="11" t="s">
        <v>51</v>
      </c>
      <c r="F12" s="11">
        <v>5.0</v>
      </c>
      <c r="G12" s="11" t="s">
        <v>271</v>
      </c>
      <c r="H12" s="12"/>
      <c r="I12" s="4"/>
    </row>
    <row r="13">
      <c r="A13" s="11" t="s">
        <v>173</v>
      </c>
      <c r="B13" s="11" t="s">
        <v>155</v>
      </c>
      <c r="C13" s="12" t="s">
        <v>175</v>
      </c>
      <c r="D13" s="11" t="s">
        <v>53</v>
      </c>
      <c r="E13" s="11" t="s">
        <v>51</v>
      </c>
      <c r="F13" s="11">
        <v>5.0</v>
      </c>
      <c r="G13" s="11" t="s">
        <v>271</v>
      </c>
      <c r="H13" s="12"/>
      <c r="I13" s="4"/>
    </row>
    <row r="14">
      <c r="A14" s="11" t="s">
        <v>179</v>
      </c>
      <c r="B14" s="11" t="s">
        <v>155</v>
      </c>
      <c r="C14" s="12" t="s">
        <v>183</v>
      </c>
      <c r="D14" s="11" t="s">
        <v>82</v>
      </c>
      <c r="E14" s="11" t="s">
        <v>51</v>
      </c>
      <c r="F14" s="11">
        <v>5.0</v>
      </c>
      <c r="G14" s="11" t="s">
        <v>271</v>
      </c>
      <c r="H14" s="12" t="s">
        <v>185</v>
      </c>
      <c r="I14" s="4"/>
    </row>
    <row r="15">
      <c r="A15" s="11" t="s">
        <v>187</v>
      </c>
      <c r="B15" s="11" t="s">
        <v>155</v>
      </c>
      <c r="C15" s="12" t="s">
        <v>188</v>
      </c>
      <c r="D15" s="11" t="s">
        <v>82</v>
      </c>
      <c r="E15" s="11" t="s">
        <v>51</v>
      </c>
      <c r="F15" s="11">
        <v>3.0</v>
      </c>
      <c r="G15" s="11" t="s">
        <v>271</v>
      </c>
      <c r="H15" s="12"/>
      <c r="I15" s="4"/>
    </row>
    <row r="16">
      <c r="A16" s="11" t="s">
        <v>192</v>
      </c>
      <c r="B16" s="11" t="s">
        <v>155</v>
      </c>
      <c r="C16" s="12" t="s">
        <v>195</v>
      </c>
      <c r="D16" s="11" t="s">
        <v>82</v>
      </c>
      <c r="E16" s="11" t="s">
        <v>73</v>
      </c>
      <c r="F16" s="11">
        <v>2.0</v>
      </c>
      <c r="G16" s="11" t="s">
        <v>271</v>
      </c>
      <c r="H16" s="12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13" t="s">
        <v>98</v>
      </c>
      <c r="F18" s="15">
        <f>SUM(F8:F16)</f>
        <v>41</v>
      </c>
      <c r="G18" s="4"/>
      <c r="H18" s="4"/>
      <c r="I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7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152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156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160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163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168</v>
      </c>
      <c r="B8" s="11" t="s">
        <v>169</v>
      </c>
      <c r="C8" s="12" t="s">
        <v>172</v>
      </c>
      <c r="D8" s="11" t="s">
        <v>53</v>
      </c>
      <c r="E8" s="11" t="s">
        <v>51</v>
      </c>
      <c r="F8" s="11">
        <v>8.0</v>
      </c>
      <c r="G8" s="11" t="s">
        <v>54</v>
      </c>
      <c r="H8" s="12" t="s">
        <v>174</v>
      </c>
    </row>
    <row r="9">
      <c r="A9" s="11" t="s">
        <v>176</v>
      </c>
      <c r="B9" s="11" t="s">
        <v>169</v>
      </c>
      <c r="C9" s="12" t="s">
        <v>177</v>
      </c>
      <c r="D9" s="11" t="s">
        <v>53</v>
      </c>
      <c r="E9" s="11" t="s">
        <v>51</v>
      </c>
      <c r="F9" s="11">
        <v>5.0</v>
      </c>
      <c r="G9" s="11" t="s">
        <v>54</v>
      </c>
      <c r="H9" s="12" t="s">
        <v>178</v>
      </c>
    </row>
    <row r="10">
      <c r="A10" s="11" t="s">
        <v>180</v>
      </c>
      <c r="B10" s="11" t="s">
        <v>169</v>
      </c>
      <c r="C10" s="12" t="s">
        <v>182</v>
      </c>
      <c r="D10" s="11" t="s">
        <v>53</v>
      </c>
      <c r="E10" s="11" t="s">
        <v>51</v>
      </c>
      <c r="F10" s="11">
        <v>2.0</v>
      </c>
      <c r="G10" s="11" t="s">
        <v>54</v>
      </c>
      <c r="H10" s="12"/>
    </row>
    <row r="11">
      <c r="A11" s="11" t="s">
        <v>184</v>
      </c>
      <c r="B11" s="11" t="s">
        <v>169</v>
      </c>
      <c r="C11" s="12" t="s">
        <v>186</v>
      </c>
      <c r="D11" s="11" t="s">
        <v>53</v>
      </c>
      <c r="E11" s="11" t="s">
        <v>51</v>
      </c>
      <c r="F11" s="11">
        <v>5.0</v>
      </c>
      <c r="G11" s="11" t="s">
        <v>54</v>
      </c>
      <c r="H11" s="12" t="s">
        <v>189</v>
      </c>
    </row>
    <row r="12">
      <c r="A12" s="11" t="s">
        <v>190</v>
      </c>
      <c r="B12" s="11" t="s">
        <v>169</v>
      </c>
      <c r="C12" s="12" t="s">
        <v>191</v>
      </c>
      <c r="D12" s="11" t="s">
        <v>53</v>
      </c>
      <c r="E12" s="11" t="s">
        <v>73</v>
      </c>
      <c r="F12" s="11">
        <v>2.0</v>
      </c>
      <c r="G12" s="11" t="s">
        <v>54</v>
      </c>
      <c r="H12" s="12"/>
    </row>
    <row r="13">
      <c r="A13" s="11" t="s">
        <v>193</v>
      </c>
      <c r="B13" s="11" t="s">
        <v>169</v>
      </c>
      <c r="C13" s="12" t="s">
        <v>194</v>
      </c>
      <c r="D13" s="11" t="s">
        <v>53</v>
      </c>
      <c r="E13" s="11" t="s">
        <v>51</v>
      </c>
      <c r="F13" s="11">
        <v>5.0</v>
      </c>
      <c r="G13" s="11" t="s">
        <v>54</v>
      </c>
      <c r="H13" s="12"/>
    </row>
    <row r="14">
      <c r="A14" s="11" t="s">
        <v>196</v>
      </c>
      <c r="B14" s="11" t="s">
        <v>198</v>
      </c>
      <c r="C14" s="12" t="s">
        <v>199</v>
      </c>
      <c r="D14" s="11" t="s">
        <v>53</v>
      </c>
      <c r="E14" s="11" t="s">
        <v>51</v>
      </c>
      <c r="F14" s="11">
        <v>8.0</v>
      </c>
      <c r="G14" s="11" t="s">
        <v>54</v>
      </c>
      <c r="H14" s="12" t="s">
        <v>201</v>
      </c>
    </row>
    <row r="15">
      <c r="A15" s="11" t="s">
        <v>203</v>
      </c>
      <c r="B15" s="11" t="s">
        <v>204</v>
      </c>
      <c r="C15" s="12" t="s">
        <v>205</v>
      </c>
      <c r="D15" s="11" t="s">
        <v>50</v>
      </c>
      <c r="E15" s="11" t="s">
        <v>73</v>
      </c>
      <c r="F15" s="11">
        <v>3.0</v>
      </c>
      <c r="G15" s="11" t="s">
        <v>54</v>
      </c>
      <c r="H15" s="12" t="s">
        <v>206</v>
      </c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13" t="s">
        <v>98</v>
      </c>
      <c r="F17" s="15">
        <f>SUM(F8:F15)</f>
        <v>38</v>
      </c>
      <c r="G17" s="4"/>
      <c r="H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9.43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161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170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181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197</v>
      </c>
      <c r="B8" s="11" t="s">
        <v>198</v>
      </c>
      <c r="C8" s="12" t="s">
        <v>200</v>
      </c>
      <c r="D8" s="11" t="s">
        <v>202</v>
      </c>
      <c r="E8" s="11" t="s">
        <v>51</v>
      </c>
      <c r="F8" s="11">
        <v>8.0</v>
      </c>
      <c r="G8" s="11" t="s">
        <v>54</v>
      </c>
      <c r="H8" s="12"/>
    </row>
    <row r="9">
      <c r="A9" s="11" t="s">
        <v>208</v>
      </c>
      <c r="B9" s="11" t="s">
        <v>198</v>
      </c>
      <c r="C9" s="12" t="s">
        <v>209</v>
      </c>
      <c r="D9" s="11" t="s">
        <v>202</v>
      </c>
      <c r="E9" s="11" t="s">
        <v>51</v>
      </c>
      <c r="F9" s="11">
        <v>5.0</v>
      </c>
      <c r="G9" s="11" t="s">
        <v>54</v>
      </c>
      <c r="H9" s="12"/>
    </row>
    <row r="10">
      <c r="A10" s="11" t="s">
        <v>210</v>
      </c>
      <c r="B10" s="11" t="s">
        <v>198</v>
      </c>
      <c r="C10" s="12" t="s">
        <v>211</v>
      </c>
      <c r="D10" s="11" t="s">
        <v>202</v>
      </c>
      <c r="E10" s="11" t="s">
        <v>51</v>
      </c>
      <c r="F10" s="11">
        <v>5.0</v>
      </c>
      <c r="G10" s="11" t="s">
        <v>54</v>
      </c>
      <c r="H10" s="12" t="s">
        <v>212</v>
      </c>
    </row>
    <row r="11">
      <c r="A11" s="11" t="s">
        <v>213</v>
      </c>
      <c r="B11" s="11" t="s">
        <v>198</v>
      </c>
      <c r="C11" s="12" t="s">
        <v>215</v>
      </c>
      <c r="D11" s="11" t="s">
        <v>202</v>
      </c>
      <c r="E11" s="11" t="s">
        <v>73</v>
      </c>
      <c r="F11" s="11">
        <v>3.0</v>
      </c>
      <c r="G11" s="11" t="s">
        <v>54</v>
      </c>
      <c r="H11" s="12"/>
    </row>
    <row r="12">
      <c r="A12" s="11" t="s">
        <v>216</v>
      </c>
      <c r="B12" s="11" t="s">
        <v>198</v>
      </c>
      <c r="C12" s="12" t="s">
        <v>217</v>
      </c>
      <c r="D12" s="11" t="s">
        <v>202</v>
      </c>
      <c r="E12" s="11" t="s">
        <v>73</v>
      </c>
      <c r="F12" s="11">
        <v>5.0</v>
      </c>
      <c r="G12" s="11" t="s">
        <v>54</v>
      </c>
      <c r="H12" s="12"/>
    </row>
    <row r="13">
      <c r="A13" s="11" t="s">
        <v>218</v>
      </c>
      <c r="B13" s="11" t="s">
        <v>198</v>
      </c>
      <c r="C13" s="12" t="s">
        <v>220</v>
      </c>
      <c r="D13" s="11" t="s">
        <v>202</v>
      </c>
      <c r="E13" s="11" t="s">
        <v>51</v>
      </c>
      <c r="F13" s="11">
        <v>8.0</v>
      </c>
      <c r="G13" s="11" t="s">
        <v>54</v>
      </c>
      <c r="H13" s="12"/>
    </row>
    <row r="14">
      <c r="A14" s="11" t="s">
        <v>222</v>
      </c>
      <c r="B14" s="11" t="s">
        <v>198</v>
      </c>
      <c r="C14" s="12" t="s">
        <v>223</v>
      </c>
      <c r="D14" s="11" t="s">
        <v>53</v>
      </c>
      <c r="E14" s="11" t="s">
        <v>51</v>
      </c>
      <c r="F14" s="11">
        <v>3.0</v>
      </c>
      <c r="G14" s="11" t="s">
        <v>54</v>
      </c>
      <c r="H14" s="12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13" t="s">
        <v>98</v>
      </c>
      <c r="F16" s="15">
        <f>SUM(F8:F14)</f>
        <v>37</v>
      </c>
      <c r="G16" s="4"/>
      <c r="H16" s="4"/>
    </row>
    <row r="17">
      <c r="A17" s="4"/>
      <c r="B17" s="4"/>
      <c r="C17" s="4"/>
      <c r="D17" s="4"/>
      <c r="E17" s="13" t="s">
        <v>31</v>
      </c>
      <c r="F17" s="15">
        <f>COUNTIF(G8:G14,"Concluído")</f>
        <v>0</v>
      </c>
      <c r="G17" s="4"/>
      <c r="H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4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60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214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219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221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224</v>
      </c>
      <c r="B8" s="11" t="s">
        <v>198</v>
      </c>
      <c r="C8" s="12" t="s">
        <v>225</v>
      </c>
      <c r="D8" s="11" t="s">
        <v>202</v>
      </c>
      <c r="E8" s="11" t="s">
        <v>51</v>
      </c>
      <c r="F8" s="11">
        <v>5.0</v>
      </c>
      <c r="G8" s="11" t="s">
        <v>54</v>
      </c>
      <c r="H8" s="12" t="s">
        <v>226</v>
      </c>
      <c r="I8" s="4"/>
      <c r="J8" s="4"/>
      <c r="K8" s="4"/>
      <c r="L8" s="4"/>
    </row>
    <row r="9">
      <c r="A9" s="11" t="s">
        <v>227</v>
      </c>
      <c r="B9" s="11" t="s">
        <v>198</v>
      </c>
      <c r="C9" s="12" t="s">
        <v>228</v>
      </c>
      <c r="D9" s="11" t="s">
        <v>202</v>
      </c>
      <c r="E9" s="11" t="s">
        <v>51</v>
      </c>
      <c r="F9" s="11">
        <v>5.0</v>
      </c>
      <c r="G9" s="11" t="s">
        <v>54</v>
      </c>
      <c r="H9" s="12"/>
      <c r="I9" s="4"/>
      <c r="J9" s="4"/>
      <c r="K9" s="4"/>
      <c r="L9" s="4"/>
    </row>
    <row r="10">
      <c r="A10" s="11" t="s">
        <v>229</v>
      </c>
      <c r="B10" s="11" t="s">
        <v>198</v>
      </c>
      <c r="C10" s="12" t="s">
        <v>230</v>
      </c>
      <c r="D10" s="11" t="s">
        <v>53</v>
      </c>
      <c r="E10" s="11" t="s">
        <v>73</v>
      </c>
      <c r="F10" s="11">
        <v>8.0</v>
      </c>
      <c r="G10" s="11" t="s">
        <v>54</v>
      </c>
      <c r="H10" s="12" t="s">
        <v>231</v>
      </c>
      <c r="I10" s="4"/>
      <c r="J10" s="4"/>
      <c r="K10" s="4"/>
      <c r="L10" s="4"/>
    </row>
    <row r="11">
      <c r="A11" s="11" t="s">
        <v>232</v>
      </c>
      <c r="B11" s="11" t="s">
        <v>198</v>
      </c>
      <c r="C11" s="12" t="s">
        <v>233</v>
      </c>
      <c r="D11" s="11" t="s">
        <v>53</v>
      </c>
      <c r="E11" s="11" t="s">
        <v>51</v>
      </c>
      <c r="F11" s="11">
        <v>5.0</v>
      </c>
      <c r="G11" s="11" t="s">
        <v>54</v>
      </c>
      <c r="H11" s="12" t="s">
        <v>234</v>
      </c>
      <c r="I11" s="4"/>
      <c r="J11" s="4"/>
      <c r="K11" s="4"/>
      <c r="L11" s="4"/>
    </row>
    <row r="12">
      <c r="A12" s="11" t="s">
        <v>235</v>
      </c>
      <c r="B12" s="11" t="s">
        <v>198</v>
      </c>
      <c r="C12" s="12" t="s">
        <v>236</v>
      </c>
      <c r="D12" s="11" t="s">
        <v>53</v>
      </c>
      <c r="E12" s="11" t="s">
        <v>73</v>
      </c>
      <c r="F12" s="11">
        <v>5.0</v>
      </c>
      <c r="G12" s="11" t="s">
        <v>54</v>
      </c>
      <c r="H12" s="12" t="s">
        <v>237</v>
      </c>
      <c r="I12" s="4"/>
      <c r="J12" s="4"/>
      <c r="K12" s="4"/>
      <c r="L12" s="4"/>
    </row>
    <row r="13">
      <c r="A13" s="11" t="s">
        <v>238</v>
      </c>
      <c r="B13" s="11" t="s">
        <v>150</v>
      </c>
      <c r="C13" s="12" t="s">
        <v>239</v>
      </c>
      <c r="D13" s="11" t="s">
        <v>53</v>
      </c>
      <c r="E13" s="11" t="s">
        <v>51</v>
      </c>
      <c r="F13" s="11">
        <v>2.0</v>
      </c>
      <c r="G13" s="11" t="s">
        <v>54</v>
      </c>
      <c r="H13" s="12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13" t="s">
        <v>98</v>
      </c>
      <c r="F15" s="15">
        <f>SUM(F8:F13)</f>
        <v>30</v>
      </c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70.29"/>
    <col customWidth="1" min="4" max="5" width="12.0"/>
    <col customWidth="1" min="6" max="6" width="9.0"/>
    <col customWidth="1" min="7" max="7" width="16.0"/>
    <col customWidth="1" min="8" max="8" width="57.57"/>
    <col customWidth="1" min="9" max="26" width="8.71"/>
  </cols>
  <sheetData>
    <row r="1">
      <c r="A1" s="2" t="s">
        <v>240</v>
      </c>
      <c r="B1" s="19"/>
      <c r="C1" s="19"/>
      <c r="D1" s="19"/>
      <c r="E1" s="19"/>
      <c r="F1" s="19"/>
      <c r="G1" s="19"/>
      <c r="H1" s="19"/>
      <c r="I1" s="19"/>
      <c r="J1" s="19"/>
    </row>
    <row r="2">
      <c r="A2" s="6" t="s">
        <v>10</v>
      </c>
      <c r="B2" s="20" t="s">
        <v>241</v>
      </c>
      <c r="C2" s="19"/>
      <c r="D2" s="19"/>
      <c r="E2" s="19"/>
      <c r="F2" s="19"/>
      <c r="G2" s="19"/>
      <c r="H2" s="19"/>
      <c r="I2" s="19"/>
      <c r="J2" s="19"/>
    </row>
    <row r="3">
      <c r="A3" s="6" t="s">
        <v>18</v>
      </c>
      <c r="B3" s="20" t="s">
        <v>19</v>
      </c>
      <c r="C3" s="19"/>
      <c r="D3" s="19"/>
      <c r="E3" s="19"/>
      <c r="F3" s="19"/>
      <c r="G3" s="19"/>
      <c r="H3" s="19"/>
      <c r="I3" s="19"/>
      <c r="J3" s="19"/>
    </row>
    <row r="4">
      <c r="A4" s="6" t="s">
        <v>22</v>
      </c>
      <c r="B4" s="20" t="s">
        <v>242</v>
      </c>
      <c r="C4" s="19"/>
      <c r="D4" s="19"/>
      <c r="E4" s="19"/>
      <c r="F4" s="19"/>
      <c r="G4" s="19"/>
      <c r="H4" s="19"/>
      <c r="I4" s="19"/>
      <c r="J4" s="19"/>
    </row>
    <row r="5" ht="30.0" customHeight="1">
      <c r="A5" s="6" t="s">
        <v>25</v>
      </c>
      <c r="B5" s="20" t="s">
        <v>243</v>
      </c>
      <c r="C5" s="19"/>
      <c r="D5" s="19"/>
      <c r="E5" s="19"/>
      <c r="F5" s="19"/>
      <c r="G5" s="19"/>
      <c r="H5" s="19"/>
      <c r="I5" s="19"/>
      <c r="J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</row>
    <row r="7">
      <c r="A7" s="15" t="s">
        <v>35</v>
      </c>
      <c r="B7" s="15" t="s">
        <v>36</v>
      </c>
      <c r="C7" s="15" t="s">
        <v>38</v>
      </c>
      <c r="D7" s="15" t="s">
        <v>39</v>
      </c>
      <c r="E7" s="15" t="s">
        <v>40</v>
      </c>
      <c r="F7" s="15" t="s">
        <v>30</v>
      </c>
      <c r="G7" s="15" t="s">
        <v>41</v>
      </c>
      <c r="H7" s="15" t="s">
        <v>42</v>
      </c>
      <c r="I7" s="19"/>
      <c r="J7" s="19"/>
    </row>
    <row r="8">
      <c r="A8" s="21" t="s">
        <v>244</v>
      </c>
      <c r="B8" s="21" t="s">
        <v>150</v>
      </c>
      <c r="C8" s="22" t="s">
        <v>245</v>
      </c>
      <c r="D8" s="21" t="s">
        <v>53</v>
      </c>
      <c r="E8" s="21" t="s">
        <v>51</v>
      </c>
      <c r="F8" s="21">
        <v>5.0</v>
      </c>
      <c r="G8" s="21" t="s">
        <v>54</v>
      </c>
      <c r="H8" s="22" t="s">
        <v>246</v>
      </c>
      <c r="I8" s="19"/>
      <c r="J8" s="19"/>
    </row>
    <row r="9">
      <c r="A9" s="21" t="s">
        <v>247</v>
      </c>
      <c r="B9" s="21" t="s">
        <v>150</v>
      </c>
      <c r="C9" s="22" t="s">
        <v>248</v>
      </c>
      <c r="D9" s="21" t="s">
        <v>53</v>
      </c>
      <c r="E9" s="21" t="s">
        <v>51</v>
      </c>
      <c r="F9" s="21">
        <v>3.0</v>
      </c>
      <c r="G9" s="21" t="s">
        <v>54</v>
      </c>
      <c r="H9" s="22"/>
      <c r="I9" s="19"/>
      <c r="J9" s="19"/>
    </row>
    <row r="10">
      <c r="A10" s="21" t="s">
        <v>249</v>
      </c>
      <c r="B10" s="21" t="s">
        <v>150</v>
      </c>
      <c r="C10" s="22" t="s">
        <v>250</v>
      </c>
      <c r="D10" s="21" t="s">
        <v>89</v>
      </c>
      <c r="E10" s="21" t="s">
        <v>51</v>
      </c>
      <c r="F10" s="21">
        <v>3.0</v>
      </c>
      <c r="G10" s="21" t="s">
        <v>54</v>
      </c>
      <c r="H10" s="22"/>
      <c r="I10" s="19"/>
      <c r="J10" s="19"/>
    </row>
    <row r="11">
      <c r="A11" s="21" t="s">
        <v>251</v>
      </c>
      <c r="B11" s="21" t="s">
        <v>150</v>
      </c>
      <c r="C11" s="22" t="s">
        <v>252</v>
      </c>
      <c r="D11" s="21" t="s">
        <v>50</v>
      </c>
      <c r="E11" s="21" t="s">
        <v>51</v>
      </c>
      <c r="F11" s="21">
        <v>3.0</v>
      </c>
      <c r="G11" s="21" t="s">
        <v>54</v>
      </c>
      <c r="H11" s="22"/>
      <c r="I11" s="19"/>
      <c r="J11" s="19"/>
    </row>
    <row r="12">
      <c r="A12" s="21" t="s">
        <v>253</v>
      </c>
      <c r="B12" s="21" t="s">
        <v>204</v>
      </c>
      <c r="C12" s="22" t="s">
        <v>254</v>
      </c>
      <c r="D12" s="21" t="s">
        <v>82</v>
      </c>
      <c r="E12" s="21" t="s">
        <v>51</v>
      </c>
      <c r="F12" s="21">
        <v>5.0</v>
      </c>
      <c r="G12" s="21" t="s">
        <v>54</v>
      </c>
      <c r="H12" s="22" t="s">
        <v>255</v>
      </c>
      <c r="I12" s="19"/>
      <c r="J12" s="19"/>
    </row>
    <row r="13">
      <c r="A13" s="21" t="s">
        <v>256</v>
      </c>
      <c r="B13" s="21" t="s">
        <v>204</v>
      </c>
      <c r="C13" s="22" t="s">
        <v>257</v>
      </c>
      <c r="D13" s="21" t="s">
        <v>50</v>
      </c>
      <c r="E13" s="21" t="s">
        <v>51</v>
      </c>
      <c r="F13" s="21">
        <v>3.0</v>
      </c>
      <c r="G13" s="21" t="s">
        <v>54</v>
      </c>
      <c r="H13" s="22" t="s">
        <v>258</v>
      </c>
      <c r="I13" s="19"/>
      <c r="J13" s="19"/>
    </row>
    <row r="14">
      <c r="A14" s="21" t="s">
        <v>259</v>
      </c>
      <c r="B14" s="21" t="s">
        <v>204</v>
      </c>
      <c r="C14" s="22" t="s">
        <v>260</v>
      </c>
      <c r="D14" s="21" t="s">
        <v>50</v>
      </c>
      <c r="E14" s="21" t="s">
        <v>51</v>
      </c>
      <c r="F14" s="21">
        <v>5.0</v>
      </c>
      <c r="G14" s="21" t="s">
        <v>54</v>
      </c>
      <c r="H14" s="22" t="s">
        <v>261</v>
      </c>
      <c r="I14" s="19"/>
      <c r="J14" s="19"/>
    </row>
    <row r="15">
      <c r="A15" s="21" t="s">
        <v>262</v>
      </c>
      <c r="B15" s="21" t="s">
        <v>204</v>
      </c>
      <c r="C15" s="22" t="s">
        <v>263</v>
      </c>
      <c r="D15" s="21" t="s">
        <v>50</v>
      </c>
      <c r="E15" s="21" t="s">
        <v>51</v>
      </c>
      <c r="F15" s="21">
        <v>5.0</v>
      </c>
      <c r="G15" s="21" t="s">
        <v>54</v>
      </c>
      <c r="H15" s="22" t="s">
        <v>264</v>
      </c>
      <c r="I15" s="19"/>
      <c r="J15" s="19"/>
    </row>
    <row r="16">
      <c r="A16" s="21" t="s">
        <v>265</v>
      </c>
      <c r="B16" s="21" t="s">
        <v>204</v>
      </c>
      <c r="C16" s="22" t="s">
        <v>266</v>
      </c>
      <c r="D16" s="21" t="s">
        <v>50</v>
      </c>
      <c r="E16" s="21" t="s">
        <v>73</v>
      </c>
      <c r="F16" s="21">
        <v>3.0</v>
      </c>
      <c r="G16" s="21" t="s">
        <v>54</v>
      </c>
      <c r="H16" s="22"/>
      <c r="I16" s="19"/>
      <c r="J16" s="19"/>
    </row>
    <row r="17">
      <c r="A17" s="21" t="s">
        <v>267</v>
      </c>
      <c r="B17" s="21" t="s">
        <v>204</v>
      </c>
      <c r="C17" s="22" t="s">
        <v>268</v>
      </c>
      <c r="D17" s="21" t="s">
        <v>89</v>
      </c>
      <c r="E17" s="21" t="s">
        <v>73</v>
      </c>
      <c r="F17" s="21">
        <v>5.0</v>
      </c>
      <c r="G17" s="21" t="s">
        <v>54</v>
      </c>
      <c r="H17" s="22"/>
      <c r="I17" s="19"/>
      <c r="J17" s="19"/>
    </row>
    <row r="18">
      <c r="A18" s="21" t="s">
        <v>269</v>
      </c>
      <c r="B18" s="21" t="s">
        <v>204</v>
      </c>
      <c r="C18" s="22" t="s">
        <v>270</v>
      </c>
      <c r="D18" s="21" t="s">
        <v>89</v>
      </c>
      <c r="E18" s="21" t="s">
        <v>51</v>
      </c>
      <c r="F18" s="21">
        <v>5.0</v>
      </c>
      <c r="G18" s="21" t="s">
        <v>54</v>
      </c>
      <c r="H18" s="22"/>
      <c r="I18" s="19"/>
      <c r="J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9"/>
      <c r="B20" s="19"/>
      <c r="C20" s="19"/>
      <c r="D20" s="19"/>
      <c r="E20" s="13" t="s">
        <v>98</v>
      </c>
      <c r="F20" s="15">
        <f>SUM(F8:F18)</f>
        <v>45</v>
      </c>
      <c r="G20" s="19"/>
      <c r="H20" s="19"/>
      <c r="I20" s="19"/>
      <c r="J20" s="19"/>
    </row>
    <row r="21" ht="15.75" customHeight="1">
      <c r="A21" s="19"/>
      <c r="B21" s="19"/>
      <c r="C21" s="19"/>
      <c r="D21" s="19"/>
      <c r="E21" s="13" t="s">
        <v>31</v>
      </c>
      <c r="F21" s="15">
        <f>COUNTIF(G8:G18,"Concluído")</f>
        <v>0</v>
      </c>
      <c r="G21" s="19"/>
      <c r="H21" s="19"/>
      <c r="I21" s="19"/>
      <c r="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</sheetData>
  <dataValidations>
    <dataValidation type="list" allowBlank="1" sqref="G8:G18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